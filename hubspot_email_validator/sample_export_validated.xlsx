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ed" sheetId="1" state="visible" r:id="rId1"/>
    <sheet name="Summary" sheetId="2" state="visible" r:id="rId2"/>
  </sheets>
  <definedNames>
    <definedName name="_xlnm._FilterDatabase" localSheetId="0" hidden="1">'Validated'!$A$1:$J$8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4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34" customWidth="1" min="3" max="3"/>
    <col width="13" customWidth="1" min="4" max="4"/>
    <col width="15" customWidth="1" min="5" max="5"/>
    <col width="34" customWidth="1" min="6" max="6"/>
    <col width="14" customWidth="1" min="7" max="7"/>
    <col width="14" customWidth="1" min="8" max="8"/>
    <col width="11" customWidth="1" min="9" max="9"/>
    <col width="12" customWidth="1" min="10" max="10"/>
  </cols>
  <sheetData>
    <row r="1">
      <c r="A1" s="1" t="inlineStr">
        <is>
          <t>Email</t>
        </is>
      </c>
      <c r="B1" s="1" t="inlineStr">
        <is>
          <t>Local Part</t>
        </is>
      </c>
      <c r="C1" s="1" t="inlineStr">
        <is>
          <t>Domain</t>
        </is>
      </c>
      <c r="D1" s="1" t="inlineStr">
        <is>
          <t>Syntax Valid</t>
        </is>
      </c>
      <c r="E1" s="1" t="inlineStr">
        <is>
          <t>MX Status</t>
        </is>
      </c>
      <c r="F1" s="1" t="inlineStr">
        <is>
          <t>Primary MX Host</t>
        </is>
      </c>
      <c r="G1" s="1" t="inlineStr">
        <is>
          <t>Free Webmail</t>
        </is>
      </c>
      <c r="H1" s="1" t="inlineStr">
        <is>
          <t>Role Address</t>
        </is>
      </c>
      <c r="I1" s="1" t="inlineStr">
        <is>
          <t>Typo Flag</t>
        </is>
      </c>
      <c r="J1" s="1" t="inlineStr">
        <is>
          <t>Verdict</t>
        </is>
      </c>
    </row>
    <row r="2">
      <c r="A2" s="2" t="inlineStr">
        <is>
          <t>jane.doe@gmail.com</t>
        </is>
      </c>
      <c r="B2" s="2" t="inlineStr">
        <is>
          <t>jane.doe</t>
        </is>
      </c>
      <c r="C2" s="2" t="inlineStr">
        <is>
          <t>gmail.com</t>
        </is>
      </c>
      <c r="D2" s="2" t="inlineStr">
        <is>
          <t>YES</t>
        </is>
      </c>
      <c r="E2" s="2" t="inlineStr">
        <is>
          <t>MX_OK</t>
        </is>
      </c>
      <c r="F2" s="2" t="inlineStr">
        <is>
          <t>gmail-smtp-in.l.google.com</t>
        </is>
      </c>
      <c r="G2" s="2" t="inlineStr">
        <is>
          <t>YES</t>
        </is>
      </c>
      <c r="H2" s="2" t="inlineStr"/>
      <c r="I2" s="2" t="inlineStr"/>
      <c r="J2" s="3" t="inlineStr">
        <is>
          <t>SEND</t>
        </is>
      </c>
    </row>
    <row r="3">
      <c r="A3" s="2" t="inlineStr">
        <is>
          <t>john.smith@outlook.com</t>
        </is>
      </c>
      <c r="B3" s="2" t="inlineStr">
        <is>
          <t>john.smith</t>
        </is>
      </c>
      <c r="C3" s="2" t="inlineStr">
        <is>
          <t>outlook.com</t>
        </is>
      </c>
      <c r="D3" s="2" t="inlineStr">
        <is>
          <t>YES</t>
        </is>
      </c>
      <c r="E3" s="2" t="inlineStr">
        <is>
          <t>MX_OK</t>
        </is>
      </c>
      <c r="F3" s="2" t="inlineStr">
        <is>
          <t>outlook-com.olc.protection.outlook.com</t>
        </is>
      </c>
      <c r="G3" s="2" t="inlineStr">
        <is>
          <t>YES</t>
        </is>
      </c>
      <c r="H3" s="2" t="inlineStr"/>
      <c r="I3" s="2" t="inlineStr"/>
      <c r="J3" s="3" t="inlineStr">
        <is>
          <t>SEND</t>
        </is>
      </c>
    </row>
    <row r="4">
      <c r="A4" s="2" t="inlineStr">
        <is>
          <t>info@zentrades.pro</t>
        </is>
      </c>
      <c r="B4" s="2" t="inlineStr">
        <is>
          <t>info</t>
        </is>
      </c>
      <c r="C4" s="2" t="inlineStr">
        <is>
          <t>zentrades.pro</t>
        </is>
      </c>
      <c r="D4" s="2" t="inlineStr">
        <is>
          <t>YES</t>
        </is>
      </c>
      <c r="E4" s="2" t="inlineStr">
        <is>
          <t>MX_OK</t>
        </is>
      </c>
      <c r="F4" s="2" t="inlineStr">
        <is>
          <t>aspmx.l.google.com</t>
        </is>
      </c>
      <c r="G4" s="2" t="inlineStr"/>
      <c r="H4" s="2" t="inlineStr">
        <is>
          <t>YES</t>
        </is>
      </c>
      <c r="I4" s="2" t="inlineStr"/>
      <c r="J4" s="4" t="inlineStr">
        <is>
          <t>REVIEW</t>
        </is>
      </c>
    </row>
    <row r="5">
      <c r="A5" s="2" t="inlineStr">
        <is>
          <t>sales@example.com</t>
        </is>
      </c>
      <c r="B5" s="2" t="inlineStr">
        <is>
          <t>sales</t>
        </is>
      </c>
      <c r="C5" s="2" t="inlineStr">
        <is>
          <t>example.com</t>
        </is>
      </c>
      <c r="D5" s="2" t="inlineStr">
        <is>
          <t>YES</t>
        </is>
      </c>
      <c r="E5" s="2" t="inlineStr">
        <is>
          <t>MX_OK</t>
        </is>
      </c>
      <c r="F5" s="2" t="inlineStr"/>
      <c r="G5" s="2" t="inlineStr"/>
      <c r="H5" s="2" t="inlineStr">
        <is>
          <t>YES</t>
        </is>
      </c>
      <c r="I5" s="2" t="inlineStr"/>
      <c r="J5" s="4" t="inlineStr">
        <is>
          <t>REVIEW</t>
        </is>
      </c>
    </row>
    <row r="6">
      <c r="A6" s="2" t="inlineStr">
        <is>
          <t>nifo@zentrades.pro</t>
        </is>
      </c>
      <c r="B6" s="2" t="inlineStr">
        <is>
          <t>nifo</t>
        </is>
      </c>
      <c r="C6" s="2" t="inlineStr">
        <is>
          <t>zentrades.pro</t>
        </is>
      </c>
      <c r="D6" s="2" t="inlineStr">
        <is>
          <t>YES</t>
        </is>
      </c>
      <c r="E6" s="2" t="inlineStr">
        <is>
          <t>MX_OK</t>
        </is>
      </c>
      <c r="F6" s="2" t="inlineStr">
        <is>
          <t>aspmx.l.google.com</t>
        </is>
      </c>
      <c r="G6" s="2" t="inlineStr"/>
      <c r="H6" s="2" t="inlineStr"/>
      <c r="I6" s="2" t="inlineStr">
        <is>
          <t>YES</t>
        </is>
      </c>
      <c r="J6" s="5" t="inlineStr">
        <is>
          <t>SUPPRESS</t>
        </is>
      </c>
    </row>
    <row r="7">
      <c r="A7" s="2" t="inlineStr">
        <is>
          <t>someone@gmial.com</t>
        </is>
      </c>
      <c r="B7" s="2" t="inlineStr">
        <is>
          <t>someone</t>
        </is>
      </c>
      <c r="C7" s="2" t="inlineStr">
        <is>
          <t>gmial.com</t>
        </is>
      </c>
      <c r="D7" s="2" t="inlineStr">
        <is>
          <t>YES</t>
        </is>
      </c>
      <c r="E7" s="2" t="inlineStr">
        <is>
          <t>NO_MX_HAS_A</t>
        </is>
      </c>
      <c r="F7" s="2" t="inlineStr"/>
      <c r="G7" s="2" t="inlineStr"/>
      <c r="H7" s="2" t="inlineStr"/>
      <c r="I7" s="2" t="inlineStr">
        <is>
          <t>YES</t>
        </is>
      </c>
      <c r="J7" s="5" t="inlineStr">
        <is>
          <t>SUPPRESS</t>
        </is>
      </c>
    </row>
    <row r="8">
      <c r="A8" s="2" t="inlineStr">
        <is>
          <t>user@thisdomaindoesnotexist-zt12345.com</t>
        </is>
      </c>
      <c r="B8" s="2" t="inlineStr">
        <is>
          <t>user</t>
        </is>
      </c>
      <c r="C8" s="2" t="inlineStr">
        <is>
          <t>thisdomaindoesnotexist-zt12345.com</t>
        </is>
      </c>
      <c r="D8" s="2" t="inlineStr">
        <is>
          <t>YES</t>
        </is>
      </c>
      <c r="E8" s="2" t="inlineStr">
        <is>
          <t>NXDOMAIN</t>
        </is>
      </c>
      <c r="F8" s="2" t="inlineStr"/>
      <c r="G8" s="2" t="inlineStr"/>
      <c r="H8" s="2" t="inlineStr"/>
      <c r="I8" s="2" t="inlineStr"/>
      <c r="J8" s="5" t="inlineStr">
        <is>
          <t>SUPPRESS</t>
        </is>
      </c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6" t="inlineStr">
        <is>
          <t>Email validation summary</t>
        </is>
      </c>
    </row>
    <row r="2">
      <c r="A2" s="7" t="inlineStr">
        <is>
          <t>Checks: RFC syntax, live MX lookup, free webmail, role address, typo patterns</t>
        </is>
      </c>
    </row>
    <row r="3">
      <c r="A3" s="7" t="inlineStr">
        <is>
          <t>Not run: SMTP mailbox probe. Catch-all and dead-mailbox detection needs a paid verifier.</t>
        </is>
      </c>
    </row>
    <row r="5">
      <c r="A5" s="8" t="inlineStr">
        <is>
          <t>Rows checked</t>
        </is>
      </c>
      <c r="B5" s="2">
        <f>COUNTA(Validated!A2:A8)</f>
        <v/>
      </c>
    </row>
    <row r="6">
      <c r="A6" s="8" t="inlineStr">
        <is>
          <t>Verdict SEND</t>
        </is>
      </c>
      <c r="B6" s="2">
        <f>COUNTIF(Validated!J2:J8,"SEND")</f>
        <v/>
      </c>
    </row>
    <row r="7">
      <c r="A7" s="8" t="inlineStr">
        <is>
          <t>Verdict REVIEW</t>
        </is>
      </c>
      <c r="B7" s="2">
        <f>COUNTIF(Validated!J2:J8,"REVIEW")</f>
        <v/>
      </c>
    </row>
    <row r="8">
      <c r="A8" s="8" t="inlineStr">
        <is>
          <t>Verdict SUPPRESS</t>
        </is>
      </c>
      <c r="B8" s="2">
        <f>COUNTIF(Validated!J2:J8,"SUPPRESS")</f>
        <v/>
      </c>
    </row>
    <row r="9">
      <c r="A9" s="2" t="inlineStr"/>
    </row>
    <row r="10">
      <c r="A10" s="8" t="inlineStr">
        <is>
          <t>MX valid</t>
        </is>
      </c>
      <c r="B10" s="2">
        <f>COUNTIF(Validated!E2:E8,"MX_OK")</f>
        <v/>
      </c>
    </row>
    <row r="11">
      <c r="A11" s="8" t="inlineStr">
        <is>
          <t>No MX, A record only</t>
        </is>
      </c>
      <c r="B11" s="2">
        <f>COUNTIF(Validated!E2:E8,"NO_MX_HAS_A")</f>
        <v/>
      </c>
    </row>
    <row r="12">
      <c r="A12" s="8" t="inlineStr">
        <is>
          <t>Domain does not exist</t>
        </is>
      </c>
      <c r="B12" s="2">
        <f>COUNTIF(Validated!E2:E8,"NXDOMAIN")</f>
        <v/>
      </c>
    </row>
    <row r="13">
      <c r="A13" s="2" t="inlineStr"/>
    </row>
    <row r="14">
      <c r="A14" s="8" t="inlineStr">
        <is>
          <t>Free webmail</t>
        </is>
      </c>
      <c r="B14" s="2">
        <f>COUNTIF(Validated!G2:G8,"YES")</f>
        <v/>
      </c>
    </row>
    <row r="15">
      <c r="A15" s="8" t="inlineStr">
        <is>
          <t>Role addresses</t>
        </is>
      </c>
      <c r="B15" s="2">
        <f>COUNTIF(Validated!H2:H8,"YES")</f>
        <v/>
      </c>
    </row>
    <row r="16">
      <c r="A16" s="8" t="inlineStr">
        <is>
          <t>Typo addresses</t>
        </is>
      </c>
      <c r="B16" s="2">
        <f>COUNTIF(Validated!I2:I8,"YES")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2026-09-15T15:32:32Z</dcterms:created>
  <dcterms:modified xsi:type="dcterms:W3CDTF">2026-09-15T15:32:32Z</dcterms:modified>
</cp:coreProperties>
</file>